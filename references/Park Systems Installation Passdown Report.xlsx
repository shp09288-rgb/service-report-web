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p09\Downloads\"/>
    </mc:Choice>
  </mc:AlternateContent>
  <xr:revisionPtr revIDLastSave="0" documentId="8_{10B19FA4-517F-428A-AE12-E4DE76F4A9E5}" xr6:coauthVersionLast="47" xr6:coauthVersionMax="47" xr10:uidLastSave="{00000000-0000-0000-0000-000000000000}"/>
  <bookViews>
    <workbookView xWindow="38280" yWindow="2340" windowWidth="29040" windowHeight="15720" xr2:uid="{8BA194BD-723B-4D2E-B546-E4793F22A0AF}"/>
  </bookViews>
  <sheets>
    <sheet name="2026.04.18" sheetId="1" r:id="rId1"/>
  </sheets>
  <externalReferences>
    <externalReference r:id="rId2"/>
    <externalReference r:id="rId3"/>
  </externalReferences>
  <definedNames>
    <definedName name="adr">#REF!</definedName>
    <definedName name="airionizer">#REF!</definedName>
    <definedName name="aligner">#REF!</definedName>
    <definedName name="atx">#REF!</definedName>
    <definedName name="efemffu">#REF!</definedName>
    <definedName name="facilitycontroller">#REF!</definedName>
    <definedName name="ffu">#REF!</definedName>
    <definedName name="length">#REF!</definedName>
    <definedName name="loadport">#REF!</definedName>
    <definedName name="LP_ID">#REF!</definedName>
    <definedName name="LP_ID\">#REF!</definedName>
    <definedName name="LPreader">#REF!</definedName>
    <definedName name="model">#REF!</definedName>
    <definedName name="profiler_l">#REF!</definedName>
    <definedName name="profiler_t">#REF!</definedName>
    <definedName name="profiler_type">#REF!</definedName>
    <definedName name="region">#REF!</definedName>
    <definedName name="Rigion">#REF!</definedName>
    <definedName name="robot">#REF!</definedName>
    <definedName name="samplchuck_t">#REF!</definedName>
    <definedName name="sample_ID">#REF!</definedName>
    <definedName name="samplechuck_m">#REF!</definedName>
    <definedName name="samplechuck_t">#REF!</definedName>
    <definedName name="service">#REF!</definedName>
    <definedName name="tool_number">#REF!</definedName>
    <definedName name="Toolno">#REF!</definedName>
    <definedName name="type">#REF!</definedName>
    <definedName name="UPS">#REF!</definedName>
    <definedName name="warranty">#REF!</definedName>
    <definedName name="Warraty_Type">#REF!</definedName>
    <definedName name="windguide">#REF!</definedName>
    <definedName name="xystage">#REF!</definedName>
    <definedName name="zscanner">#REF!</definedName>
    <definedName name="답변">#REF!</definedName>
    <definedName name="모델">#REF!</definedName>
    <definedName name="시작예정일">'[1]Gantt Chart'!$J1</definedName>
    <definedName name="시작일">'[1]Gantt Chart'!$J1</definedName>
    <definedName name="오늘">'[1]Gantt Chart'!A$7</definedName>
    <definedName name="오늘예정">'[1]Gantt Chart'!A$7</definedName>
    <definedName name="종료예정일">'[1]Gantt Chart'!$K1</definedName>
    <definedName name="종료일">'[1]Gantt Chart'!$K1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P15" i="1"/>
  <c r="V4" i="1" a="1"/>
  <c r="V4" i="1" s="1"/>
  <c r="P16" i="1" l="1"/>
  <c r="D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Kim</author>
  </authors>
  <commentList>
    <comment ref="R6" authorId="0" shapeId="0" xr:uid="{571CA874-9084-43EA-9E27-CDCF779654E8}">
      <text>
        <r>
          <rPr>
            <b/>
            <sz val="9"/>
            <color indexed="81"/>
            <rFont val="Tahoma"/>
            <family val="2"/>
          </rPr>
          <t>Daniel Kim: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<sst xmlns="http://schemas.openxmlformats.org/spreadsheetml/2006/main" count="47" uniqueCount="46">
  <si>
    <t>Park Systems Installation Passdown Report</t>
    <phoneticPr fontId="2" type="noConversion"/>
  </si>
  <si>
    <t>Park FSE Name:</t>
    <phoneticPr fontId="2" type="noConversion"/>
  </si>
  <si>
    <t>김중원</t>
  </si>
  <si>
    <t>Date:</t>
    <phoneticPr fontId="2" type="noConversion"/>
  </si>
  <si>
    <t>System Information</t>
    <phoneticPr fontId="2" type="noConversion"/>
  </si>
  <si>
    <t>Installation Information</t>
    <phoneticPr fontId="2" type="noConversion"/>
  </si>
  <si>
    <t>Contact Info</t>
    <phoneticPr fontId="2" type="noConversion"/>
  </si>
  <si>
    <t>Customer</t>
    <phoneticPr fontId="2" type="noConversion"/>
  </si>
  <si>
    <t>SDC A3</t>
    <phoneticPr fontId="2" type="noConversion"/>
  </si>
  <si>
    <t>Location</t>
    <phoneticPr fontId="2" type="noConversion"/>
  </si>
  <si>
    <r>
      <t>SDC A3 3F D3</t>
    </r>
    <r>
      <rPr>
        <sz val="11"/>
        <color theme="1"/>
        <rFont val="맑은 고딕"/>
        <family val="2"/>
        <charset val="129"/>
      </rPr>
      <t>기둥</t>
    </r>
    <phoneticPr fontId="2" type="noConversion"/>
  </si>
  <si>
    <t>CRM Case ID</t>
    <phoneticPr fontId="2" type="noConversion"/>
  </si>
  <si>
    <t>00180182</t>
    <phoneticPr fontId="2" type="noConversion"/>
  </si>
  <si>
    <t>Model</t>
    <phoneticPr fontId="2" type="noConversion"/>
  </si>
  <si>
    <t>NX-TSH</t>
    <phoneticPr fontId="2" type="noConversion"/>
  </si>
  <si>
    <t>Site Survey Result</t>
    <phoneticPr fontId="2" type="noConversion"/>
  </si>
  <si>
    <t>VC-B</t>
  </si>
  <si>
    <t>60~65dB</t>
  </si>
  <si>
    <t>Main User Name</t>
    <phoneticPr fontId="2" type="noConversion"/>
  </si>
  <si>
    <t>임대홍</t>
    <phoneticPr fontId="2" type="noConversion"/>
  </si>
  <si>
    <t>SID</t>
    <phoneticPr fontId="2" type="noConversion"/>
  </si>
  <si>
    <t>D25007-080725</t>
    <phoneticPr fontId="2" type="noConversion"/>
  </si>
  <si>
    <t>Start Date</t>
    <phoneticPr fontId="2" type="noConversion"/>
  </si>
  <si>
    <t>Main User Tel#</t>
    <phoneticPr fontId="2" type="noConversion"/>
  </si>
  <si>
    <t>010-5478-9040</t>
    <phoneticPr fontId="2" type="noConversion"/>
  </si>
  <si>
    <t>EQ ID</t>
    <phoneticPr fontId="2" type="noConversion"/>
  </si>
  <si>
    <t>NX-TSH1518 #1</t>
    <phoneticPr fontId="2" type="noConversion"/>
  </si>
  <si>
    <t>Est. Complete Date</t>
    <phoneticPr fontId="2" type="noConversion"/>
  </si>
  <si>
    <t>Main User E-mail</t>
    <phoneticPr fontId="2" type="noConversion"/>
  </si>
  <si>
    <t>Total Cycle Time</t>
    <phoneticPr fontId="2" type="noConversion"/>
  </si>
  <si>
    <t>Individual Action Chart</t>
    <phoneticPr fontId="2" type="noConversion"/>
  </si>
  <si>
    <t>Committed Progress</t>
    <phoneticPr fontId="2" type="noConversion"/>
  </si>
  <si>
    <t>Total</t>
    <phoneticPr fontId="2" type="noConversion"/>
  </si>
  <si>
    <t>Days</t>
    <phoneticPr fontId="2" type="noConversion"/>
  </si>
  <si>
    <t>Actual Progress</t>
    <phoneticPr fontId="2" type="noConversion"/>
  </si>
  <si>
    <t>Progress</t>
    <phoneticPr fontId="2" type="noConversion"/>
  </si>
  <si>
    <t>Critical Item Summary</t>
    <phoneticPr fontId="2" type="noConversion"/>
  </si>
  <si>
    <t>1. Clmap 구동확인 
2. Ionizer cable 포설 완료 
3. 구동관련 Test 진행중
4. WatteMeter, CIM 연결 Fail 
5. 기타 잔건 작업 진행</t>
  </si>
  <si>
    <t xml:space="preserve">  Detail Report</t>
    <phoneticPr fontId="2" type="noConversion"/>
  </si>
  <si>
    <t xml:space="preserve">Next Plan Update </t>
    <phoneticPr fontId="2" type="noConversion"/>
  </si>
  <si>
    <t>1. Clmap 구동확인 
 1-1. Clamp 구동 CDA2의 Sol valve cable 빠져있는 것 확인 
 1-2. Cable 연결 후 Clamp manual 구동 확인 
  1-2-1. Clamp up/open - Clamp close - Clamp open/down 
 1-3. Glass Loading/Unloading을 위한 HW Sequence 전체 Manual 구동 확인 
  1-3-1. Shutter Door Open/Close, Lift pin Up/Down, Clamp 구동, Air blow 구동, Vaccum 구동</t>
  </si>
  <si>
    <t>2. Ionizer cable 포설 완료 
 2-1. Ionizer cable 6ea Cable duct 앞단까지 포설완료 
 2-2. Ionizer Head 장착 후 Ionizer controller까지 Cable 연결작업 예정 
  2-2-1. Ionizer Head 거치대 size달라 우리기연에서 제작중_차주 월요일 제작 진행상태 확인 예정</t>
  </si>
  <si>
    <t>3. 구동관련 Test 진행중 
 3-1. XY Stage Reset시 Sequence 이상 
  3-1-1. 정상 sequence : Limit → Home에서 정지
  3-1-2. A3 Sequence : Limit → Home → Limit 부근 정지 (X는 정상적으로 Home에서 정지, Y가 비정상)
  3-1-3. Y방향 Home sensor 감지 상태 점검 예정
 3-2. PM Mode후 Clamp, Lift pin 구동되지 않아 XEA 재시작하는 경우 자주 발생 
  3-2-1. PM Mode후 Clamp, Lift pin 바로 구동 가능한 경우도 있으나 대다수의 경우 Loading 창 생성 후 동작하지 않음
  3-2-2. Clamp는 3~5회 반복 동작 명령 시 구동하는 경우도 있었으나, Lift pin은 한 번 구동되지 않으면 재부팅해야만 구동 가능</t>
  </si>
  <si>
    <t>4. WatteMeter, CIM 연결 Fail 
 4-1. DB WatteMeter on후 IP Address matching하였으나, XEA Run되지 않음 
  4-1-1. 관련 추가 Port 확인하였으나 Lan 단독 연결로 확인 
   4-1-1-1. DB상 Port가 있어 확인 시도 
  4-2-1. Accura Lan cable 연결되어 있었으며, Lac cable 점등되어 있어 연결된 것으로 확인 
   4-2-1-1. Accura 기기에 Ethernet 상태 LED 점등되어 있지 않음
 4-2. DB Secsgem, CIM SW on시 XEA Run되지 않음 
  4-2-1. 관련 XCOM USB 파손으로 인한 연결 Fail 추정
  4-2-2. 관련 DB와 CIM은 화성에서 장비 생산 시 Test하여 연결 확인한 상태에서 수정하지 않음</t>
  </si>
  <si>
    <t>5. 기타 잔건 작업 진행 
 5-1. ESMS Cable 정리 완료
  5-1-1. ESMS Cable Stage 하부에 포설 및 고정되지 않고 사려져 있었음 
  5-1-2. Lift pin Up/Down moving중 Cable 간섭 없도록 정리
 5-2. CIM PC CCTV연결 확인 완료 
 5-3. Cabinet Fan 동작 확인 안료 
  5-3-1. Fan 1ea cable 빠져있어 연결 후 정상 동작 확인
 5-4. 각종 Cover류, MC상태 등 I/O Check 완료</t>
  </si>
  <si>
    <t>Data Location: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</si>
</sst>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1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  <scheme val="major"/>
    </font>
    <font>
      <b/>
      <sz val="12"/>
      <color theme="1"/>
      <name val="Calibri"/>
      <family val="2"/>
    </font>
    <font>
      <b/>
      <sz val="12"/>
      <color theme="1"/>
      <name val="맑은 고딕"/>
      <family val="2"/>
    </font>
    <font>
      <b/>
      <sz val="14"/>
      <color theme="0"/>
      <name val="Calibri"/>
      <family val="2"/>
    </font>
    <font>
      <sz val="11"/>
      <color theme="1"/>
      <name val="맑은 고딕"/>
      <family val="2"/>
      <charset val="129"/>
    </font>
    <font>
      <sz val="11"/>
      <color theme="1"/>
      <name val="새굴림"/>
      <family val="2"/>
    </font>
    <font>
      <u/>
      <sz val="11"/>
      <color theme="10"/>
      <name val="맑은 고딕"/>
      <family val="3"/>
      <charset val="129"/>
      <scheme val="minor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hair">
        <color indexed="64"/>
      </right>
      <top style="medium">
        <color auto="1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/>
    <xf numFmtId="0" fontId="5" fillId="2" borderId="0" xfId="0" applyFont="1" applyFill="1" applyAlignment="1">
      <alignment wrapText="1"/>
    </xf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14" fontId="6" fillId="2" borderId="5" xfId="0" applyNumberFormat="1" applyFont="1" applyFill="1" applyBorder="1" applyAlignment="1">
      <alignment horizontal="center"/>
    </xf>
    <xf numFmtId="14" fontId="6" fillId="2" borderId="6" xfId="0" applyNumberFormat="1" applyFont="1" applyFill="1" applyBorder="1" applyAlignment="1">
      <alignment horizontal="center"/>
    </xf>
    <xf numFmtId="0" fontId="8" fillId="3" borderId="7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4" fillId="4" borderId="10" xfId="0" applyFont="1" applyFill="1" applyBorder="1" applyAlignment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4" borderId="10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/>
    </xf>
    <xf numFmtId="0" fontId="4" fillId="0" borderId="11" xfId="0" quotePrefix="1" applyFont="1" applyBorder="1" applyAlignment="1">
      <alignment horizontal="center"/>
    </xf>
    <xf numFmtId="0" fontId="4" fillId="4" borderId="13" xfId="0" applyFont="1" applyFill="1" applyBorder="1" applyAlignment="1"/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4" borderId="13" xfId="0" applyFont="1" applyFill="1" applyBorder="1" applyAlignment="1">
      <alignment horizontal="left"/>
    </xf>
    <xf numFmtId="0" fontId="4" fillId="4" borderId="14" xfId="0" applyFont="1" applyFill="1" applyBorder="1" applyAlignment="1">
      <alignment horizontal="left"/>
    </xf>
    <xf numFmtId="176" fontId="4" fillId="0" borderId="14" xfId="0" applyNumberFormat="1" applyFont="1" applyBorder="1" applyAlignment="1">
      <alignment horizontal="right"/>
    </xf>
    <xf numFmtId="176" fontId="4" fillId="0" borderId="14" xfId="0" applyNumberFormat="1" applyFont="1" applyBorder="1" applyAlignment="1">
      <alignment horizontal="center"/>
    </xf>
    <xf numFmtId="176" fontId="4" fillId="0" borderId="15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4" fillId="0" borderId="14" xfId="0" quotePrefix="1" applyFont="1" applyBorder="1" applyAlignment="1">
      <alignment horizontal="center"/>
    </xf>
    <xf numFmtId="0" fontId="4" fillId="4" borderId="13" xfId="0" applyFont="1" applyFill="1" applyBorder="1" applyAlignment="1">
      <alignment horizontal="left"/>
    </xf>
    <xf numFmtId="0" fontId="4" fillId="4" borderId="14" xfId="0" applyFont="1" applyFill="1" applyBorder="1" applyAlignment="1">
      <alignment horizontal="left"/>
    </xf>
    <xf numFmtId="0" fontId="11" fillId="0" borderId="14" xfId="2" applyBorder="1" applyAlignment="1">
      <alignment horizontal="center"/>
    </xf>
    <xf numFmtId="0" fontId="11" fillId="0" borderId="15" xfId="2" applyBorder="1" applyAlignment="1">
      <alignment horizontal="center"/>
    </xf>
    <xf numFmtId="0" fontId="4" fillId="4" borderId="16" xfId="0" applyFont="1" applyFill="1" applyBorder="1" applyAlignment="1"/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4" borderId="16" xfId="0" applyFont="1" applyFill="1" applyBorder="1" applyAlignment="1">
      <alignment horizontal="left"/>
    </xf>
    <xf numFmtId="0" fontId="4" fillId="4" borderId="17" xfId="0" applyFont="1" applyFill="1" applyBorder="1" applyAlignment="1">
      <alignment horizontal="left"/>
    </xf>
    <xf numFmtId="176" fontId="4" fillId="0" borderId="17" xfId="0" applyNumberFormat="1" applyFont="1" applyBorder="1" applyAlignment="1">
      <alignment horizontal="center"/>
    </xf>
    <xf numFmtId="176" fontId="4" fillId="0" borderId="18" xfId="0" applyNumberFormat="1" applyFont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0" xfId="0" applyFont="1" applyAlignment="1"/>
    <xf numFmtId="0" fontId="8" fillId="5" borderId="7" xfId="0" applyFont="1" applyFill="1" applyBorder="1" applyAlignment="1">
      <alignment horizontal="left"/>
    </xf>
    <xf numFmtId="0" fontId="8" fillId="5" borderId="8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9" fontId="12" fillId="2" borderId="21" xfId="0" applyNumberFormat="1" applyFont="1" applyFill="1" applyBorder="1" applyAlignment="1">
      <alignment horizontal="left"/>
    </xf>
    <xf numFmtId="0" fontId="12" fillId="2" borderId="22" xfId="0" applyFont="1" applyFill="1" applyBorder="1" applyAlignment="1">
      <alignment horizontal="left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6" borderId="24" xfId="0" applyFont="1" applyFill="1" applyBorder="1" applyAlignment="1">
      <alignment horizontal="center"/>
    </xf>
    <xf numFmtId="0" fontId="13" fillId="6" borderId="25" xfId="0" applyFont="1" applyFill="1" applyBorder="1" applyAlignment="1">
      <alignment horizontal="center"/>
    </xf>
    <xf numFmtId="9" fontId="14" fillId="6" borderId="26" xfId="1" applyFont="1" applyFill="1" applyBorder="1" applyAlignment="1">
      <alignment horizontal="center"/>
    </xf>
    <xf numFmtId="9" fontId="14" fillId="6" borderId="27" xfId="1" applyFont="1" applyFill="1" applyBorder="1" applyAlignment="1">
      <alignment horizontal="center"/>
    </xf>
    <xf numFmtId="9" fontId="14" fillId="6" borderId="25" xfId="1" applyFont="1" applyFill="1" applyBorder="1" applyAlignment="1">
      <alignment horizontal="center"/>
    </xf>
    <xf numFmtId="0" fontId="4" fillId="6" borderId="26" xfId="0" applyFont="1" applyFill="1" applyBorder="1" applyAlignment="1">
      <alignment horizontal="center"/>
    </xf>
    <xf numFmtId="0" fontId="4" fillId="6" borderId="27" xfId="0" applyFont="1" applyFill="1" applyBorder="1" applyAlignment="1">
      <alignment horizontal="center"/>
    </xf>
    <xf numFmtId="0" fontId="4" fillId="6" borderId="27" xfId="0" applyFont="1" applyFill="1" applyBorder="1" applyAlignment="1"/>
    <xf numFmtId="0" fontId="4" fillId="6" borderId="28" xfId="0" applyFont="1" applyFill="1" applyBorder="1" applyAlignment="1"/>
    <xf numFmtId="0" fontId="4" fillId="2" borderId="29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13" fillId="6" borderId="31" xfId="0" applyFont="1" applyFill="1" applyBorder="1" applyAlignment="1">
      <alignment horizontal="center"/>
    </xf>
    <xf numFmtId="0" fontId="13" fillId="6" borderId="32" xfId="0" applyFont="1" applyFill="1" applyBorder="1" applyAlignment="1">
      <alignment horizontal="center"/>
    </xf>
    <xf numFmtId="9" fontId="14" fillId="6" borderId="33" xfId="1" applyFont="1" applyFill="1" applyBorder="1" applyAlignment="1">
      <alignment horizontal="center"/>
    </xf>
    <xf numFmtId="9" fontId="14" fillId="6" borderId="34" xfId="1" applyFont="1" applyFill="1" applyBorder="1" applyAlignment="1">
      <alignment horizontal="center"/>
    </xf>
    <xf numFmtId="9" fontId="14" fillId="6" borderId="32" xfId="1" applyFont="1" applyFill="1" applyBorder="1" applyAlignment="1">
      <alignment horizontal="center"/>
    </xf>
    <xf numFmtId="0" fontId="4" fillId="6" borderId="33" xfId="0" applyFont="1" applyFill="1" applyBorder="1" applyAlignment="1">
      <alignment horizontal="center"/>
    </xf>
    <xf numFmtId="0" fontId="4" fillId="6" borderId="34" xfId="0" applyFont="1" applyFill="1" applyBorder="1" applyAlignment="1">
      <alignment horizontal="center"/>
    </xf>
    <xf numFmtId="0" fontId="4" fillId="6" borderId="34" xfId="0" applyFont="1" applyFill="1" applyBorder="1" applyAlignment="1"/>
    <xf numFmtId="0" fontId="4" fillId="6" borderId="35" xfId="0" applyFont="1" applyFill="1" applyBorder="1" applyAlignment="1"/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5" borderId="36" xfId="0" applyFont="1" applyFill="1" applyBorder="1" applyAlignment="1">
      <alignment horizontal="center"/>
    </xf>
    <xf numFmtId="0" fontId="8" fillId="5" borderId="37" xfId="0" applyFont="1" applyFill="1" applyBorder="1" applyAlignment="1">
      <alignment horizontal="left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36" xfId="0" applyFont="1" applyBorder="1" applyAlignment="1">
      <alignment vertical="top" wrapText="1"/>
    </xf>
    <xf numFmtId="0" fontId="5" fillId="0" borderId="38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36" xfId="0" applyFont="1" applyBorder="1" applyAlignment="1">
      <alignment horizontal="left" vertical="top" wrapText="1"/>
    </xf>
    <xf numFmtId="0" fontId="5" fillId="0" borderId="39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30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40" xfId="0" applyFont="1" applyBorder="1" applyAlignment="1">
      <alignment vertical="top" wrapText="1"/>
    </xf>
    <xf numFmtId="0" fontId="5" fillId="0" borderId="41" xfId="0" applyFont="1" applyBorder="1" applyAlignment="1">
      <alignment vertical="top" wrapText="1"/>
    </xf>
    <xf numFmtId="0" fontId="5" fillId="0" borderId="42" xfId="0" applyFont="1" applyBorder="1" applyAlignment="1">
      <alignment vertical="top" wrapText="1"/>
    </xf>
    <xf numFmtId="0" fontId="5" fillId="0" borderId="43" xfId="0" applyFont="1" applyBorder="1" applyAlignment="1">
      <alignment vertical="top" wrapText="1"/>
    </xf>
    <xf numFmtId="0" fontId="8" fillId="5" borderId="44" xfId="0" applyFont="1" applyFill="1" applyBorder="1" applyAlignment="1"/>
    <xf numFmtId="0" fontId="4" fillId="0" borderId="45" xfId="0" applyFont="1" applyBorder="1" applyAlignment="1">
      <alignment horizontal="left"/>
    </xf>
    <xf numFmtId="0" fontId="4" fillId="0" borderId="46" xfId="0" applyFont="1" applyBorder="1" applyAlignment="1">
      <alignment horizontal="left"/>
    </xf>
    <xf numFmtId="0" fontId="4" fillId="0" borderId="47" xfId="0" applyFont="1" applyBorder="1" applyAlignment="1">
      <alignment horizontal="left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Total</a:t>
            </a:r>
            <a:r>
              <a:rPr lang="en-US" altLang="ko-KR" b="1" baseline="0"/>
              <a:t> Progress</a:t>
            </a:r>
            <a:endParaRPr lang="ko-KR" altLang="en-US" b="1"/>
          </a:p>
        </c:rich>
      </c:tx>
      <c:layout>
        <c:manualLayout>
          <c:xMode val="edge"/>
          <c:yMode val="edge"/>
          <c:x val="4.1214098237720292E-2"/>
          <c:y val="4.9200492004920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098937632795901"/>
          <c:y val="7.1791653349604356E-2"/>
          <c:w val="0.48475190601174856"/>
          <c:h val="0.78123911632817111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'[1]Gantt Chart'!$B$3:$B$7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'[2]Gantt Chart'!$B$3:$B$7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397-42C6-BC80-3A97E11FFEE1}"/>
            </c:ext>
          </c:extLst>
        </c:ser>
        <c:ser>
          <c:idx val="1"/>
          <c:order val="1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11996575645628982"/>
                  <c:y val="0.10952380952380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97-42C6-BC80-3A97E11FFEE1}"/>
                </c:ext>
              </c:extLst>
            </c:dLbl>
            <c:dLbl>
              <c:idx val="1"/>
              <c:layout>
                <c:manualLayout>
                  <c:x val="1.6378952630921133E-2"/>
                  <c:y val="9.55543287716341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97-42C6-BC80-3A97E11FFEE1}"/>
                </c:ext>
              </c:extLst>
            </c:dLbl>
            <c:dLbl>
              <c:idx val="2"/>
              <c:layout>
                <c:manualLayout>
                  <c:x val="2.0565558249649684E-2"/>
                  <c:y val="4.28571428571428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97-42C6-BC80-3A97E11FFEE1}"/>
                </c:ext>
              </c:extLst>
            </c:dLbl>
            <c:dLbl>
              <c:idx val="3"/>
              <c:layout>
                <c:manualLayout>
                  <c:x val="7.5407046915382178E-2"/>
                  <c:y val="4.76190476190476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97-42C6-BC80-3A97E11FFEE1}"/>
                </c:ext>
              </c:extLst>
            </c:dLbl>
            <c:dLbl>
              <c:idx val="4"/>
              <c:layout>
                <c:manualLayout>
                  <c:x val="-7.197193237962498E-3"/>
                  <c:y val="8.4829805735196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97-42C6-BC80-3A97E11FFE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'[1]Gantt Chart'!$D$3:$D$7</c:f>
              <c:numCache>
                <c:formatCode>0%</c:formatCode>
                <c:ptCount val="5"/>
                <c:pt idx="0">
                  <c:v>1</c:v>
                </c:pt>
                <c:pt idx="1">
                  <c:v>0.5</c:v>
                </c:pt>
                <c:pt idx="2">
                  <c:v>0.14285714285714285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'[2]Gantt Chart'!$B$3:$B$7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6-0397-42C6-BC80-3A97E11FF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964687"/>
        <c:axId val="861210768"/>
      </c:radarChart>
      <c:catAx>
        <c:axId val="102496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1210768"/>
        <c:crosses val="autoZero"/>
        <c:auto val="1"/>
        <c:lblAlgn val="ctr"/>
        <c:lblOffset val="100"/>
        <c:noMultiLvlLbl val="0"/>
      </c:catAx>
      <c:valAx>
        <c:axId val="8612107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2496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18825</xdr:colOff>
      <xdr:row>13</xdr:row>
      <xdr:rowOff>20729</xdr:rowOff>
    </xdr:from>
    <xdr:to>
      <xdr:col>23</xdr:col>
      <xdr:colOff>670447</xdr:colOff>
      <xdr:row>25</xdr:row>
      <xdr:rowOff>209102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ACFF182-2129-464D-8BA6-B34D51464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p09\Downloads\%5bInstallation%20Report%5d%20SDC%20A3_NX-TSH%201518%20%231.xlsx" TargetMode="External"/><Relationship Id="rId1" Type="http://schemas.openxmlformats.org/officeDocument/2006/relationships/externalLinkPath" Target="%5bInstallation%20Report%5d%20SDC%20A3_NX-TSH%201518%20%23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kafm.sharepoint.com/sites/DFS22/Shared%20Documents/General/DFS2/(&#50577;&#49885;)%20Site%20&#47749;%20(&#50948;&#52824;)_&#49444;&#48708;&#47749;/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불합리 및 특이사항 List"/>
      <sheetName val="Gantt Chart"/>
      <sheetName val="2026.04.18"/>
      <sheetName val="2026.04.17"/>
      <sheetName val="2026.04.16"/>
      <sheetName val="2026.04.15"/>
      <sheetName val="2026.04.14"/>
      <sheetName val="2026.04.13"/>
      <sheetName val="2026.04.10"/>
      <sheetName val="2026.04.09"/>
      <sheetName val="2026.04.08"/>
      <sheetName val="2026.04.07"/>
      <sheetName val="2026.04.06"/>
      <sheetName val="2026.04.04"/>
      <sheetName val="2026.04.03"/>
      <sheetName val="2026.04.02"/>
      <sheetName val="2026.04.01"/>
      <sheetName val="2026.03.31"/>
      <sheetName val="2026.03.26"/>
      <sheetName val="2026.03.18"/>
      <sheetName val="2026.03.16"/>
      <sheetName val="2026.03.11"/>
      <sheetName val="2026.03.10"/>
      <sheetName val="2026.02.23"/>
      <sheetName val="(YYYY.MM.DD) 양식"/>
    </sheetNames>
    <sheetDataSet>
      <sheetData sheetId="0"/>
      <sheetData sheetId="1">
        <row r="3">
          <cell r="A3">
            <v>9</v>
          </cell>
          <cell r="B3" t="str">
            <v>Installation</v>
          </cell>
          <cell r="C3">
            <v>9</v>
          </cell>
          <cell r="D3">
            <v>1</v>
          </cell>
        </row>
        <row r="4">
          <cell r="A4">
            <v>3</v>
          </cell>
          <cell r="B4" t="str">
            <v>Utillization Check</v>
          </cell>
          <cell r="C4">
            <v>6</v>
          </cell>
          <cell r="D4">
            <v>0.5</v>
          </cell>
        </row>
        <row r="5">
          <cell r="A5">
            <v>1</v>
          </cell>
          <cell r="B5" t="str">
            <v>Teaching</v>
          </cell>
          <cell r="C5">
            <v>7</v>
          </cell>
          <cell r="D5">
            <v>0.14285714285714285</v>
          </cell>
        </row>
        <row r="6">
          <cell r="A6">
            <v>0</v>
          </cell>
          <cell r="B6" t="str">
            <v>Basic Performance</v>
          </cell>
          <cell r="C6">
            <v>2</v>
          </cell>
          <cell r="D6">
            <v>0</v>
          </cell>
        </row>
        <row r="7">
          <cell r="A7">
            <v>0</v>
          </cell>
          <cell r="B7" t="str">
            <v>Acceptance Test</v>
          </cell>
          <cell r="C7">
            <v>10</v>
          </cell>
          <cell r="D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ntt Chart"/>
    </sheetNames>
    <sheetDataSet>
      <sheetData sheetId="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04C2-74B2-47D5-AA7F-C75569279228}">
  <dimension ref="B2:X33"/>
  <sheetViews>
    <sheetView showGridLines="0" tabSelected="1" zoomScale="70" zoomScaleNormal="70" workbookViewId="0">
      <selection activeCell="J14" sqref="J14"/>
    </sheetView>
  </sheetViews>
  <sheetFormatPr defaultRowHeight="16.5" x14ac:dyDescent="0.3"/>
  <cols>
    <col min="2" max="2" width="18.25" customWidth="1"/>
  </cols>
  <sheetData>
    <row r="2" spans="2:24" ht="17.25" customHeight="1" thickBot="1" x14ac:dyDescent="0.35">
      <c r="B2" s="1" t="e" vm="1">
        <v>#VALUE!</v>
      </c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  <c r="U2" s="3"/>
      <c r="V2" s="3"/>
      <c r="W2" s="3"/>
      <c r="X2" s="4"/>
    </row>
    <row r="3" spans="2:24" ht="17.25" customHeight="1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5" t="s">
        <v>1</v>
      </c>
      <c r="U3" s="6"/>
      <c r="V3" s="7" t="s">
        <v>2</v>
      </c>
      <c r="W3" s="7"/>
      <c r="X3" s="8"/>
    </row>
    <row r="4" spans="2:24" ht="17.25" thickBot="1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9" t="s">
        <v>3</v>
      </c>
      <c r="U4" s="10"/>
      <c r="V4" s="11" t="e" cm="1">
        <f t="array" aca="1" ref="V4" ca="1">TEXT(SUBSTITUTE(MID(CELL("filename",A1), FIND("]", CELL("filename",A1)) + 1, 255), ".", "-"), "yyyy-mm-dd")</f>
        <v>#VALUE!</v>
      </c>
      <c r="W4" s="11"/>
      <c r="X4" s="12"/>
    </row>
    <row r="5" spans="2:24" ht="17.25" thickBot="1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2:24" ht="19.5" thickBot="1" x14ac:dyDescent="0.35">
      <c r="B6" s="13" t="s">
        <v>4</v>
      </c>
      <c r="C6" s="14"/>
      <c r="D6" s="14"/>
      <c r="E6" s="14"/>
      <c r="F6" s="14"/>
      <c r="G6" s="14"/>
      <c r="H6" s="15"/>
      <c r="I6" s="13" t="s">
        <v>5</v>
      </c>
      <c r="J6" s="14"/>
      <c r="K6" s="14"/>
      <c r="L6" s="14"/>
      <c r="M6" s="14"/>
      <c r="N6" s="14"/>
      <c r="O6" s="14"/>
      <c r="P6" s="14"/>
      <c r="Q6" s="15"/>
      <c r="R6" s="13" t="s">
        <v>6</v>
      </c>
      <c r="S6" s="14"/>
      <c r="T6" s="14"/>
      <c r="U6" s="14"/>
      <c r="V6" s="14"/>
      <c r="W6" s="14"/>
      <c r="X6" s="15"/>
    </row>
    <row r="7" spans="2:24" x14ac:dyDescent="0.3">
      <c r="B7" s="16" t="s">
        <v>7</v>
      </c>
      <c r="C7" s="17" t="s">
        <v>8</v>
      </c>
      <c r="D7" s="17"/>
      <c r="E7" s="17"/>
      <c r="F7" s="17"/>
      <c r="G7" s="17"/>
      <c r="H7" s="18"/>
      <c r="I7" s="19" t="s">
        <v>9</v>
      </c>
      <c r="J7" s="20"/>
      <c r="K7" s="20"/>
      <c r="L7" s="17" t="s">
        <v>10</v>
      </c>
      <c r="M7" s="17"/>
      <c r="N7" s="17"/>
      <c r="O7" s="17"/>
      <c r="P7" s="17"/>
      <c r="Q7" s="18"/>
      <c r="R7" s="19" t="s">
        <v>11</v>
      </c>
      <c r="S7" s="20"/>
      <c r="T7" s="21" t="s">
        <v>12</v>
      </c>
      <c r="U7" s="17"/>
      <c r="V7" s="17"/>
      <c r="W7" s="17"/>
      <c r="X7" s="18"/>
    </row>
    <row r="8" spans="2:24" x14ac:dyDescent="0.25">
      <c r="B8" s="22" t="s">
        <v>13</v>
      </c>
      <c r="C8" s="23" t="s">
        <v>14</v>
      </c>
      <c r="D8" s="23"/>
      <c r="E8" s="23"/>
      <c r="F8" s="23"/>
      <c r="G8" s="23"/>
      <c r="H8" s="24"/>
      <c r="I8" s="25" t="s">
        <v>15</v>
      </c>
      <c r="J8" s="26"/>
      <c r="K8" s="26"/>
      <c r="L8" s="27" t="s">
        <v>16</v>
      </c>
      <c r="M8" s="27"/>
      <c r="N8" s="27"/>
      <c r="O8" s="28" t="s">
        <v>17</v>
      </c>
      <c r="P8" s="28"/>
      <c r="Q8" s="29"/>
      <c r="R8" s="25" t="s">
        <v>18</v>
      </c>
      <c r="S8" s="26"/>
      <c r="T8" s="30" t="s">
        <v>19</v>
      </c>
      <c r="U8" s="30"/>
      <c r="V8" s="30"/>
      <c r="W8" s="30"/>
      <c r="X8" s="31"/>
    </row>
    <row r="9" spans="2:24" x14ac:dyDescent="0.25">
      <c r="B9" s="22" t="s">
        <v>20</v>
      </c>
      <c r="C9" s="23" t="s">
        <v>21</v>
      </c>
      <c r="D9" s="23"/>
      <c r="E9" s="23"/>
      <c r="F9" s="23"/>
      <c r="G9" s="23"/>
      <c r="H9" s="24"/>
      <c r="I9" s="25" t="s">
        <v>22</v>
      </c>
      <c r="J9" s="26"/>
      <c r="K9" s="26"/>
      <c r="L9" s="28">
        <v>46112</v>
      </c>
      <c r="M9" s="28"/>
      <c r="N9" s="28"/>
      <c r="O9" s="28"/>
      <c r="P9" s="28"/>
      <c r="Q9" s="29"/>
      <c r="R9" s="25" t="s">
        <v>23</v>
      </c>
      <c r="S9" s="26"/>
      <c r="T9" s="32" t="s">
        <v>24</v>
      </c>
      <c r="U9" s="23"/>
      <c r="V9" s="23"/>
      <c r="W9" s="23"/>
      <c r="X9" s="24"/>
    </row>
    <row r="10" spans="2:24" x14ac:dyDescent="0.3">
      <c r="B10" s="22" t="s">
        <v>25</v>
      </c>
      <c r="C10" s="23" t="s">
        <v>26</v>
      </c>
      <c r="D10" s="23"/>
      <c r="E10" s="23"/>
      <c r="F10" s="23"/>
      <c r="G10" s="23"/>
      <c r="H10" s="24"/>
      <c r="I10" s="33" t="s">
        <v>27</v>
      </c>
      <c r="J10" s="34"/>
      <c r="K10" s="34"/>
      <c r="L10" s="28">
        <v>46160</v>
      </c>
      <c r="M10" s="28"/>
      <c r="N10" s="28"/>
      <c r="O10" s="28"/>
      <c r="P10" s="28"/>
      <c r="Q10" s="29"/>
      <c r="R10" s="25" t="s">
        <v>28</v>
      </c>
      <c r="S10" s="26"/>
      <c r="T10" s="35"/>
      <c r="U10" s="35"/>
      <c r="V10" s="35"/>
      <c r="W10" s="35"/>
      <c r="X10" s="36"/>
    </row>
    <row r="11" spans="2:24" ht="17.25" thickBot="1" x14ac:dyDescent="0.3">
      <c r="B11" s="37"/>
      <c r="C11" s="38"/>
      <c r="D11" s="38"/>
      <c r="E11" s="38"/>
      <c r="F11" s="38"/>
      <c r="G11" s="38"/>
      <c r="H11" s="39"/>
      <c r="I11" s="40"/>
      <c r="J11" s="41"/>
      <c r="K11" s="41"/>
      <c r="L11" s="42"/>
      <c r="M11" s="42"/>
      <c r="N11" s="42"/>
      <c r="O11" s="42"/>
      <c r="P11" s="42"/>
      <c r="Q11" s="43"/>
      <c r="R11" s="44"/>
      <c r="S11" s="45"/>
      <c r="T11" s="46"/>
      <c r="U11" s="46"/>
      <c r="V11" s="46"/>
      <c r="W11" s="46"/>
      <c r="X11" s="47"/>
    </row>
    <row r="12" spans="2:24" ht="17.25" thickBot="1" x14ac:dyDescent="0.3"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</row>
    <row r="13" spans="2:24" ht="19.5" thickBot="1" x14ac:dyDescent="0.35">
      <c r="B13" s="49" t="s">
        <v>29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1"/>
      <c r="R13" s="49" t="s">
        <v>30</v>
      </c>
      <c r="S13" s="50"/>
      <c r="T13" s="50"/>
      <c r="U13" s="50"/>
      <c r="V13" s="50"/>
      <c r="W13" s="50"/>
      <c r="X13" s="51"/>
    </row>
    <row r="14" spans="2:24" x14ac:dyDescent="0.25">
      <c r="B14" s="52"/>
      <c r="C14" s="53"/>
      <c r="D14" s="54">
        <v>0</v>
      </c>
      <c r="E14" s="55"/>
      <c r="F14" s="54">
        <v>0.2</v>
      </c>
      <c r="G14" s="55"/>
      <c r="H14" s="54">
        <v>0.4</v>
      </c>
      <c r="I14" s="55"/>
      <c r="J14" s="54">
        <v>0.6</v>
      </c>
      <c r="K14" s="55"/>
      <c r="L14" s="54">
        <v>0.8</v>
      </c>
      <c r="M14" s="55"/>
      <c r="N14" s="54">
        <v>1</v>
      </c>
      <c r="O14" s="56"/>
      <c r="P14" s="56"/>
      <c r="Q14" s="57"/>
      <c r="R14" s="58"/>
      <c r="S14" s="59"/>
      <c r="T14" s="59"/>
      <c r="U14" s="59"/>
      <c r="V14" s="59"/>
      <c r="W14" s="59"/>
      <c r="X14" s="60"/>
    </row>
    <row r="15" spans="2:24" x14ac:dyDescent="0.25">
      <c r="B15" s="61" t="s">
        <v>31</v>
      </c>
      <c r="C15" s="62"/>
      <c r="D15" s="63" t="e">
        <f ca="1">(V4-L9)/(L10-L9)</f>
        <v>#VALUE!</v>
      </c>
      <c r="E15" s="64"/>
      <c r="F15" s="64"/>
      <c r="G15" s="64"/>
      <c r="H15" s="64"/>
      <c r="I15" s="64"/>
      <c r="J15" s="64"/>
      <c r="K15" s="64"/>
      <c r="L15" s="64"/>
      <c r="M15" s="65"/>
      <c r="N15" s="66" t="s">
        <v>32</v>
      </c>
      <c r="O15" s="67"/>
      <c r="P15" s="68">
        <f>L10-L9</f>
        <v>48</v>
      </c>
      <c r="Q15" s="69" t="s">
        <v>33</v>
      </c>
      <c r="R15" s="70"/>
      <c r="S15" s="71"/>
      <c r="T15" s="71"/>
      <c r="U15" s="71"/>
      <c r="V15" s="71"/>
      <c r="W15" s="71"/>
      <c r="X15" s="72"/>
    </row>
    <row r="16" spans="2:24" ht="17.25" thickBot="1" x14ac:dyDescent="0.3">
      <c r="B16" s="73" t="s">
        <v>34</v>
      </c>
      <c r="C16" s="74"/>
      <c r="D16" s="75">
        <f>SUM('[1]Gantt Chart'!A3:A7)/SUM('[1]Gantt Chart'!C3:C7)</f>
        <v>0.38235294117647056</v>
      </c>
      <c r="E16" s="76"/>
      <c r="F16" s="76"/>
      <c r="G16" s="76"/>
      <c r="H16" s="76"/>
      <c r="I16" s="76"/>
      <c r="J16" s="76"/>
      <c r="K16" s="76"/>
      <c r="L16" s="76"/>
      <c r="M16" s="77"/>
      <c r="N16" s="78" t="s">
        <v>35</v>
      </c>
      <c r="O16" s="79"/>
      <c r="P16" s="80" t="e">
        <f ca="1">1+V4-L9</f>
        <v>#VALUE!</v>
      </c>
      <c r="Q16" s="81" t="s">
        <v>33</v>
      </c>
      <c r="R16" s="70"/>
      <c r="S16" s="71"/>
      <c r="T16" s="71"/>
      <c r="U16" s="71"/>
      <c r="V16" s="71"/>
      <c r="W16" s="71"/>
      <c r="X16" s="72"/>
    </row>
    <row r="17" spans="2:24" ht="19.5" thickBot="1" x14ac:dyDescent="0.35">
      <c r="B17" s="49" t="s">
        <v>36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1"/>
      <c r="R17" s="70"/>
      <c r="S17" s="71"/>
      <c r="T17" s="71"/>
      <c r="U17" s="71"/>
      <c r="V17" s="71"/>
      <c r="W17" s="71"/>
      <c r="X17" s="72"/>
    </row>
    <row r="18" spans="2:24" ht="17.100000000000001" customHeight="1" x14ac:dyDescent="0.3">
      <c r="B18" s="82" t="s">
        <v>37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4"/>
      <c r="R18" s="70"/>
      <c r="S18" s="71"/>
      <c r="T18" s="71"/>
      <c r="U18" s="71"/>
      <c r="V18" s="71"/>
      <c r="W18" s="71"/>
      <c r="X18" s="72"/>
    </row>
    <row r="19" spans="2:24" x14ac:dyDescent="0.3">
      <c r="B19" s="8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7"/>
      <c r="R19" s="70"/>
      <c r="S19" s="71"/>
      <c r="T19" s="71"/>
      <c r="U19" s="71"/>
      <c r="V19" s="71"/>
      <c r="W19" s="71"/>
      <c r="X19" s="72"/>
    </row>
    <row r="20" spans="2:24" x14ac:dyDescent="0.3">
      <c r="B20" s="8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7"/>
      <c r="R20" s="70"/>
      <c r="S20" s="71"/>
      <c r="T20" s="71"/>
      <c r="U20" s="71"/>
      <c r="V20" s="71"/>
      <c r="W20" s="71"/>
      <c r="X20" s="72"/>
    </row>
    <row r="21" spans="2:24" x14ac:dyDescent="0.3">
      <c r="B21" s="85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70"/>
      <c r="S21" s="71"/>
      <c r="T21" s="71"/>
      <c r="U21" s="71"/>
      <c r="V21" s="71"/>
      <c r="W21" s="71"/>
      <c r="X21" s="72"/>
    </row>
    <row r="22" spans="2:24" x14ac:dyDescent="0.3">
      <c r="B22" s="85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7"/>
      <c r="R22" s="70"/>
      <c r="S22" s="71"/>
      <c r="T22" s="71"/>
      <c r="U22" s="71"/>
      <c r="V22" s="71"/>
      <c r="W22" s="71"/>
      <c r="X22" s="72"/>
    </row>
    <row r="23" spans="2:24" x14ac:dyDescent="0.3">
      <c r="B23" s="85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7"/>
      <c r="R23" s="70"/>
      <c r="S23" s="71"/>
      <c r="T23" s="71"/>
      <c r="U23" s="71"/>
      <c r="V23" s="71"/>
      <c r="W23" s="71"/>
      <c r="X23" s="72"/>
    </row>
    <row r="24" spans="2:24" x14ac:dyDescent="0.3">
      <c r="B24" s="85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7"/>
      <c r="R24" s="70"/>
      <c r="S24" s="71"/>
      <c r="T24" s="71"/>
      <c r="U24" s="71"/>
      <c r="V24" s="71"/>
      <c r="W24" s="71"/>
      <c r="X24" s="72"/>
    </row>
    <row r="25" spans="2:24" x14ac:dyDescent="0.3">
      <c r="B25" s="85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7"/>
      <c r="R25" s="70"/>
      <c r="S25" s="71"/>
      <c r="T25" s="71"/>
      <c r="U25" s="71"/>
      <c r="V25" s="71"/>
      <c r="W25" s="71"/>
      <c r="X25" s="72"/>
    </row>
    <row r="26" spans="2:24" ht="17.25" thickBot="1" x14ac:dyDescent="0.35">
      <c r="B26" s="88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90"/>
      <c r="R26" s="91"/>
      <c r="S26" s="92"/>
      <c r="T26" s="92"/>
      <c r="U26" s="92"/>
      <c r="V26" s="92"/>
      <c r="W26" s="92"/>
      <c r="X26" s="93"/>
    </row>
    <row r="27" spans="2:24" ht="19.5" thickBot="1" x14ac:dyDescent="0.35">
      <c r="B27" s="94" t="s">
        <v>38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6"/>
      <c r="O27" s="97" t="s">
        <v>39</v>
      </c>
      <c r="P27" s="50"/>
      <c r="Q27" s="50"/>
      <c r="R27" s="50"/>
      <c r="S27" s="50"/>
      <c r="T27" s="50"/>
      <c r="U27" s="50"/>
      <c r="V27" s="50"/>
      <c r="W27" s="50"/>
      <c r="X27" s="51"/>
    </row>
    <row r="28" spans="2:24" ht="170.25" customHeight="1" thickBot="1" x14ac:dyDescent="0.35">
      <c r="B28" s="98" t="s">
        <v>40</v>
      </c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100"/>
      <c r="O28" s="101"/>
      <c r="P28" s="102"/>
      <c r="Q28" s="102"/>
      <c r="R28" s="102"/>
      <c r="S28" s="102"/>
      <c r="T28" s="102"/>
      <c r="U28" s="102"/>
      <c r="V28" s="102"/>
      <c r="W28" s="102"/>
      <c r="X28" s="103"/>
    </row>
    <row r="29" spans="2:24" ht="174.75" customHeight="1" thickBot="1" x14ac:dyDescent="0.35">
      <c r="B29" s="104" t="s">
        <v>41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6"/>
      <c r="O29" s="107"/>
      <c r="P29" s="108"/>
      <c r="Q29" s="108"/>
      <c r="R29" s="108"/>
      <c r="S29" s="108"/>
      <c r="T29" s="108"/>
      <c r="U29" s="108"/>
      <c r="V29" s="108"/>
      <c r="W29" s="108"/>
      <c r="X29" s="109"/>
    </row>
    <row r="30" spans="2:24" ht="199.5" customHeight="1" thickBot="1" x14ac:dyDescent="0.35">
      <c r="B30" s="104" t="s">
        <v>42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6"/>
      <c r="O30" s="107"/>
      <c r="P30" s="108"/>
      <c r="Q30" s="108"/>
      <c r="R30" s="108"/>
      <c r="S30" s="108"/>
      <c r="T30" s="108"/>
      <c r="U30" s="108"/>
      <c r="V30" s="108"/>
      <c r="W30" s="108"/>
      <c r="X30" s="109"/>
    </row>
    <row r="31" spans="2:24" ht="368.45" customHeight="1" thickBot="1" x14ac:dyDescent="0.35">
      <c r="B31" s="98" t="s">
        <v>43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100"/>
      <c r="O31" s="107"/>
      <c r="P31" s="108"/>
      <c r="Q31" s="108"/>
      <c r="R31" s="108"/>
      <c r="S31" s="108"/>
      <c r="T31" s="108"/>
      <c r="U31" s="108"/>
      <c r="V31" s="108"/>
      <c r="W31" s="108"/>
      <c r="X31" s="109"/>
    </row>
    <row r="32" spans="2:24" ht="258" customHeight="1" x14ac:dyDescent="0.3">
      <c r="B32" s="110" t="s">
        <v>44</v>
      </c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11"/>
      <c r="O32" s="112"/>
      <c r="P32" s="113"/>
      <c r="Q32" s="113"/>
      <c r="R32" s="113"/>
      <c r="S32" s="113"/>
      <c r="T32" s="113"/>
      <c r="U32" s="113"/>
      <c r="V32" s="113"/>
      <c r="W32" s="113"/>
      <c r="X32" s="114"/>
    </row>
    <row r="33" spans="2:24" ht="19.5" thickBot="1" x14ac:dyDescent="0.35">
      <c r="B33" s="115" t="s">
        <v>45</v>
      </c>
      <c r="C33" s="116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8"/>
    </row>
  </sheetData>
  <mergeCells count="55">
    <mergeCell ref="C33:X33"/>
    <mergeCell ref="B18:Q26"/>
    <mergeCell ref="B27:N27"/>
    <mergeCell ref="O27:X27"/>
    <mergeCell ref="B28:N28"/>
    <mergeCell ref="O28:X32"/>
    <mergeCell ref="B29:N29"/>
    <mergeCell ref="B30:N30"/>
    <mergeCell ref="B31:N31"/>
    <mergeCell ref="B32:N32"/>
    <mergeCell ref="B14:C14"/>
    <mergeCell ref="O14:Q14"/>
    <mergeCell ref="R14:X26"/>
    <mergeCell ref="B15:C15"/>
    <mergeCell ref="D15:M15"/>
    <mergeCell ref="N15:O15"/>
    <mergeCell ref="B16:C16"/>
    <mergeCell ref="D16:M16"/>
    <mergeCell ref="N16:O16"/>
    <mergeCell ref="B17:Q17"/>
    <mergeCell ref="C11:H11"/>
    <mergeCell ref="L11:Q11"/>
    <mergeCell ref="R11:S11"/>
    <mergeCell ref="T11:X11"/>
    <mergeCell ref="B13:Q13"/>
    <mergeCell ref="R13:X13"/>
    <mergeCell ref="C9:H9"/>
    <mergeCell ref="I9:K9"/>
    <mergeCell ref="L9:Q9"/>
    <mergeCell ref="R9:S9"/>
    <mergeCell ref="T9:X9"/>
    <mergeCell ref="C10:H10"/>
    <mergeCell ref="L10:Q10"/>
    <mergeCell ref="R10:S10"/>
    <mergeCell ref="T10:X10"/>
    <mergeCell ref="C8:H8"/>
    <mergeCell ref="I8:K8"/>
    <mergeCell ref="L8:N8"/>
    <mergeCell ref="O8:Q8"/>
    <mergeCell ref="R8:S8"/>
    <mergeCell ref="T8:X8"/>
    <mergeCell ref="B6:H6"/>
    <mergeCell ref="I6:Q6"/>
    <mergeCell ref="R6:X6"/>
    <mergeCell ref="C7:H7"/>
    <mergeCell ref="I7:K7"/>
    <mergeCell ref="L7:Q7"/>
    <mergeCell ref="R7:S7"/>
    <mergeCell ref="T7:X7"/>
    <mergeCell ref="B2:B3"/>
    <mergeCell ref="C2:R3"/>
    <mergeCell ref="T3:U3"/>
    <mergeCell ref="V3:X3"/>
    <mergeCell ref="T4:U4"/>
    <mergeCell ref="V4:X4"/>
  </mergeCells>
  <phoneticPr fontId="2" type="noConversion"/>
  <conditionalFormatting sqref="D15:D16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{7003BB84-1817-4E60-8A6B-6212DD066D02}</x14:id>
        </ext>
      </extLst>
    </cfRule>
  </conditionalFormatting>
  <dataValidations count="2">
    <dataValidation type="list" allowBlank="1" showInputMessage="1" showErrorMessage="1" sqref="L8:N8" xr:uid="{E9005B40-C349-46A1-B9C9-4A3568BCCCF2}">
      <formula1>"VC-A, VC-B, VC-C, VC-D, VC-E"</formula1>
    </dataValidation>
    <dataValidation type="list" allowBlank="1" showInputMessage="1" showErrorMessage="1" sqref="O8:Q8" xr:uid="{F6B9E0F5-A07B-4FAA-A28C-A857F2F1469D}">
      <formula1>"55~60dB, 60~65dB, 65~70dB, 70~75dB, 75~80dB, 80~85dB, 85~90dB"</formula1>
    </dataValidation>
  </dataValidations>
  <pageMargins left="0.7" right="0.7" top="0.75" bottom="0.75" header="0.3" footer="0.3"/>
  <pageSetup paperSize="9" orientation="portrait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03BB84-1817-4E60-8A6B-6212DD066D0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D15:D16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2026.04.18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동현 이</dc:creator>
  <cp:lastModifiedBy>동현 이</cp:lastModifiedBy>
  <dcterms:created xsi:type="dcterms:W3CDTF">2026-04-19T07:48:10Z</dcterms:created>
  <dcterms:modified xsi:type="dcterms:W3CDTF">2026-04-19T07:48:23Z</dcterms:modified>
</cp:coreProperties>
</file>